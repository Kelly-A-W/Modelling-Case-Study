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yperexponential.sharepoint.com/sites/teamhx/Shared Documents/Team/Rob/Project Work/"/>
    </mc:Choice>
  </mc:AlternateContent>
  <xr:revisionPtr revIDLastSave="0" documentId="8_{C299415A-CAAA-4813-837F-8F6D8653039C}" xr6:coauthVersionLast="47" xr6:coauthVersionMax="47" xr10:uidLastSave="{00000000-0000-0000-0000-000000000000}"/>
  <bookViews>
    <workbookView xWindow="-108" yWindow="-108" windowWidth="30936" windowHeight="16284" xr2:uid="{243FE574-A641-454F-878E-F1ACB942AEEE}"/>
  </bookViews>
  <sheets>
    <sheet name="Model" sheetId="1" r:id="rId1"/>
    <sheet name="Parameters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3" i="1" l="1"/>
  <c r="F45" i="1"/>
  <c r="H37" i="1"/>
  <c r="T26" i="1"/>
  <c r="T25" i="1"/>
  <c r="S26" i="1" a="1"/>
  <c r="S26" i="1" s="1"/>
  <c r="S25" i="1" a="1"/>
  <c r="S25" i="1" s="1"/>
  <c r="S23" i="1" a="1"/>
  <c r="S22" i="1" a="1"/>
  <c r="S24" i="1" a="1"/>
  <c r="S23" i="1" l="1"/>
  <c r="S24" i="1"/>
  <c r="S22" i="1"/>
  <c r="Q26" i="1" l="1"/>
  <c r="Q25" i="1"/>
  <c r="Q24" i="1"/>
  <c r="R24" i="1" s="1"/>
  <c r="T24" i="1" s="1"/>
  <c r="Q23" i="1"/>
  <c r="R23" i="1" s="1"/>
  <c r="T23" i="1" s="1"/>
  <c r="Q22" i="1"/>
  <c r="R22" i="1" s="1"/>
  <c r="T22" i="1" s="1"/>
  <c r="R26" i="1"/>
  <c r="R25" i="1"/>
  <c r="M26" i="1"/>
  <c r="M25" i="1"/>
  <c r="M24" i="1"/>
  <c r="M23" i="1"/>
  <c r="M22" i="1"/>
  <c r="I37" i="1"/>
  <c r="F43" i="1" l="1"/>
  <c r="O26" i="1"/>
  <c r="N26" i="1"/>
  <c r="L26" i="1"/>
  <c r="O25" i="1"/>
  <c r="N25" i="1"/>
  <c r="L25" i="1"/>
  <c r="L24" i="1"/>
  <c r="L23" i="1"/>
  <c r="L22" i="1"/>
  <c r="N24" i="1" l="1"/>
  <c r="N23" i="1"/>
  <c r="O23" i="1" s="1"/>
  <c r="N22" i="1"/>
  <c r="H34" i="1" l="1"/>
  <c r="H33" i="1"/>
  <c r="H35" i="1"/>
  <c r="H36" i="1"/>
  <c r="O22" i="1"/>
  <c r="O24" i="1"/>
  <c r="F42" i="1" l="1"/>
  <c r="G42" i="1" s="1"/>
  <c r="I33" i="1"/>
  <c r="I36" i="1"/>
  <c r="I35" i="1"/>
  <c r="I34" i="1"/>
  <c r="F44" i="1" l="1"/>
  <c r="G44" i="1" l="1"/>
  <c r="G4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<sst xmlns="http://schemas.openxmlformats.org/spreadsheetml/2006/main" count="71" uniqueCount="60">
  <si>
    <t>Example Rating Model</t>
  </si>
  <si>
    <t>User inputs</t>
  </si>
  <si>
    <t>are coloured green</t>
  </si>
  <si>
    <t>Calculations</t>
  </si>
  <si>
    <t>are coloured blue</t>
  </si>
  <si>
    <t>Details</t>
  </si>
  <si>
    <t>Insured</t>
  </si>
  <si>
    <t>Drones R Us</t>
  </si>
  <si>
    <t>Underwriter</t>
  </si>
  <si>
    <t>Michael</t>
  </si>
  <si>
    <t>Broker</t>
  </si>
  <si>
    <t>Aon</t>
  </si>
  <si>
    <t>Brokerage</t>
  </si>
  <si>
    <t>Drones</t>
  </si>
  <si>
    <t>Max drones in air at any one time</t>
  </si>
  <si>
    <t>Note - not used in this model, input for extension</t>
  </si>
  <si>
    <t>User Inputs</t>
  </si>
  <si>
    <t>Hull</t>
  </si>
  <si>
    <t>TPL</t>
  </si>
  <si>
    <t>Serial Number</t>
  </si>
  <si>
    <t>Value (GBP)</t>
  </si>
  <si>
    <t>Weight</t>
  </si>
  <si>
    <t>Has Detachable Camera?</t>
  </si>
  <si>
    <t>TPL Limit</t>
  </si>
  <si>
    <t>TPL Excess</t>
  </si>
  <si>
    <t>Base Rate</t>
  </si>
  <si>
    <t>Weight adjustment</t>
  </si>
  <si>
    <t>Final rate</t>
  </si>
  <si>
    <t>Premium</t>
  </si>
  <si>
    <t>Base Layer Premium</t>
  </si>
  <si>
    <t>ILF</t>
  </si>
  <si>
    <t>Layer Premium</t>
  </si>
  <si>
    <t>AAA-111</t>
  </si>
  <si>
    <t>0 - 5kg</t>
  </si>
  <si>
    <t>BBB-222</t>
  </si>
  <si>
    <t>10 - 20kg</t>
  </si>
  <si>
    <t>CCC-333</t>
  </si>
  <si>
    <t>5 - 10kg</t>
  </si>
  <si>
    <t>Detachable Cameras</t>
  </si>
  <si>
    <t>Rate</t>
  </si>
  <si>
    <t>ZZZ-999</t>
  </si>
  <si>
    <t>YYY-888</t>
  </si>
  <si>
    <t>XXX-777</t>
  </si>
  <si>
    <t>WWW-666</t>
  </si>
  <si>
    <t>Premium Summary</t>
  </si>
  <si>
    <t>Gross</t>
  </si>
  <si>
    <t>Net</t>
  </si>
  <si>
    <t>Drone - Hull</t>
  </si>
  <si>
    <t>Drone - TPL</t>
  </si>
  <si>
    <t>Camera - Hull</t>
  </si>
  <si>
    <t>Total</t>
  </si>
  <si>
    <t>These are the parameters which are used in the model rating</t>
  </si>
  <si>
    <t>Base Rates (Gross)</t>
  </si>
  <si>
    <t>Liability</t>
  </si>
  <si>
    <t>ILF - Riebesell Curve</t>
  </si>
  <si>
    <t>Base Limit</t>
  </si>
  <si>
    <t>z</t>
  </si>
  <si>
    <t>Table of adjustments for Maximum Take-off Weight</t>
  </si>
  <si>
    <t>Adjustment</t>
  </si>
  <si>
    <t>&gt; 20kg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</si>
</sst>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_-;\-* #,##0_-;_-* &quot;-&quot;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164" fontId="0" fillId="0" borderId="0" xfId="0" applyNumberFormat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1" fontId="2" fillId="0" borderId="2" xfId="0" applyNumberFormat="1" applyFont="1" applyBorder="1"/>
    <xf numFmtId="11" fontId="2" fillId="0" borderId="4" xfId="0" applyNumberFormat="1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4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2" borderId="5" xfId="0" applyFill="1" applyBorder="1"/>
    <xf numFmtId="164" fontId="0" fillId="2" borderId="0" xfId="1" applyNumberFormat="1" applyFont="1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164" fontId="0" fillId="2" borderId="8" xfId="1" applyNumberFormat="1" applyFont="1" applyFill="1" applyBorder="1"/>
    <xf numFmtId="0" fontId="0" fillId="2" borderId="8" xfId="0" applyFill="1" applyBorder="1"/>
    <xf numFmtId="0" fontId="0" fillId="2" borderId="9" xfId="0" applyFill="1" applyBorder="1"/>
    <xf numFmtId="164" fontId="0" fillId="2" borderId="6" xfId="1" applyNumberFormat="1" applyFont="1" applyFill="1" applyBorder="1"/>
    <xf numFmtId="164" fontId="0" fillId="2" borderId="9" xfId="1" applyNumberFormat="1" applyFont="1" applyFill="1" applyBorder="1"/>
    <xf numFmtId="165" fontId="0" fillId="3" borderId="5" xfId="0" applyNumberFormat="1" applyFill="1" applyBorder="1"/>
    <xf numFmtId="43" fontId="0" fillId="3" borderId="0" xfId="1" applyFont="1" applyFill="1" applyBorder="1"/>
    <xf numFmtId="165" fontId="0" fillId="3" borderId="0" xfId="0" applyNumberFormat="1" applyFill="1" applyBorder="1"/>
    <xf numFmtId="165" fontId="0" fillId="3" borderId="7" xfId="0" applyNumberFormat="1" applyFill="1" applyBorder="1"/>
    <xf numFmtId="43" fontId="0" fillId="3" borderId="8" xfId="1" applyFont="1" applyFill="1" applyBorder="1"/>
    <xf numFmtId="165" fontId="0" fillId="3" borderId="8" xfId="0" applyNumberFormat="1" applyFill="1" applyBorder="1"/>
    <xf numFmtId="0" fontId="0" fillId="3" borderId="6" xfId="0" applyFill="1" applyBorder="1"/>
    <xf numFmtId="0" fontId="0" fillId="3" borderId="9" xfId="0" applyFill="1" applyBorder="1"/>
    <xf numFmtId="164" fontId="0" fillId="3" borderId="12" xfId="1" applyNumberFormat="1" applyFont="1" applyFill="1" applyBorder="1"/>
    <xf numFmtId="164" fontId="0" fillId="3" borderId="9" xfId="1" applyNumberFormat="1" applyFont="1" applyFill="1" applyBorder="1"/>
    <xf numFmtId="0" fontId="0" fillId="2" borderId="1" xfId="0" applyFill="1" applyBorder="1"/>
    <xf numFmtId="0" fontId="0" fillId="3" borderId="1" xfId="0" applyFill="1" applyBorder="1"/>
    <xf numFmtId="0" fontId="3" fillId="0" borderId="0" xfId="0" applyFont="1"/>
    <xf numFmtId="0" fontId="0" fillId="0" borderId="4" xfId="0" applyBorder="1"/>
    <xf numFmtId="0" fontId="0" fillId="0" borderId="2" xfId="0" applyBorder="1"/>
    <xf numFmtId="0" fontId="2" fillId="0" borderId="13" xfId="0" applyFont="1" applyBorder="1"/>
    <xf numFmtId="0" fontId="0" fillId="2" borderId="12" xfId="0" applyFill="1" applyBorder="1"/>
    <xf numFmtId="9" fontId="0" fillId="2" borderId="9" xfId="0" applyNumberFormat="1" applyFill="1" applyBorder="1"/>
    <xf numFmtId="164" fontId="0" fillId="3" borderId="6" xfId="1" applyNumberFormat="1" applyFont="1" applyFill="1" applyBorder="1"/>
    <xf numFmtId="9" fontId="0" fillId="0" borderId="12" xfId="0" applyNumberFormat="1" applyBorder="1"/>
    <xf numFmtId="9" fontId="0" fillId="0" borderId="9" xfId="0" applyNumberFormat="1" applyBorder="1"/>
    <xf numFmtId="0" fontId="0" fillId="0" borderId="10" xfId="0" applyBorder="1"/>
    <xf numFmtId="0" fontId="0" fillId="0" borderId="11" xfId="0" applyBorder="1"/>
    <xf numFmtId="164" fontId="0" fillId="0" borderId="12" xfId="1" applyNumberFormat="1" applyFont="1" applyBorder="1"/>
    <xf numFmtId="164" fontId="0" fillId="2" borderId="5" xfId="1" applyNumberFormat="1" applyFont="1" applyFill="1" applyBorder="1"/>
    <xf numFmtId="164" fontId="0" fillId="2" borderId="7" xfId="1" applyNumberFormat="1" applyFont="1" applyFill="1" applyBorder="1"/>
    <xf numFmtId="0" fontId="2" fillId="0" borderId="2" xfId="0" applyFont="1" applyFill="1" applyBorder="1" applyAlignment="1">
      <alignment wrapText="1"/>
    </xf>
    <xf numFmtId="0" fontId="2" fillId="0" borderId="3" xfId="0" applyFont="1" applyFill="1" applyBorder="1" applyAlignment="1">
      <alignment wrapText="1"/>
    </xf>
    <xf numFmtId="0" fontId="2" fillId="0" borderId="4" xfId="0" applyFont="1" applyFill="1" applyBorder="1" applyAlignment="1">
      <alignment wrapText="1"/>
    </xf>
    <xf numFmtId="164" fontId="0" fillId="3" borderId="0" xfId="1" applyNumberFormat="1" applyFont="1" applyFill="1" applyBorder="1"/>
    <xf numFmtId="164" fontId="0" fillId="3" borderId="8" xfId="1" applyNumberFormat="1" applyFont="1" applyFill="1" applyBorder="1"/>
    <xf numFmtId="166" fontId="0" fillId="3" borderId="6" xfId="0" applyNumberFormat="1" applyFill="1" applyBorder="1"/>
    <xf numFmtId="166" fontId="0" fillId="3" borderId="9" xfId="0" applyNumberFormat="1" applyFill="1" applyBorder="1"/>
    <xf numFmtId="0" fontId="4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C2E3C-8EB5-4435-9EEC-96EBBAE5E895}">
  <sheetPr codeName="Sheet1"/>
  <dimension ref="D2:T45"/>
  <sheetViews>
    <sheetView tabSelected="1" topLeftCell="A7" zoomScale="85" zoomScaleNormal="85" workbookViewId="0">
      <selection activeCell="F14" sqref="F14"/>
    </sheetView>
  </sheetViews>
  <sheetFormatPr defaultRowHeight="14.4" x14ac:dyDescent="0.3"/>
  <cols>
    <col min="5" max="10" width="14.6640625" customWidth="1"/>
    <col min="11" max="11" width="4" customWidth="1"/>
    <col min="12" max="15" width="14.6640625" customWidth="1"/>
    <col min="16" max="16" width="4" customWidth="1"/>
    <col min="17" max="20" width="14.33203125" customWidth="1"/>
  </cols>
  <sheetData>
    <row r="2" spans="4:6" x14ac:dyDescent="0.3">
      <c r="D2" s="39" t="s">
        <v>0</v>
      </c>
    </row>
    <row r="5" spans="4:6" x14ac:dyDescent="0.3">
      <c r="E5" s="37" t="s">
        <v>1</v>
      </c>
      <c r="F5" t="s">
        <v>2</v>
      </c>
    </row>
    <row r="6" spans="4:6" x14ac:dyDescent="0.3">
      <c r="E6" s="38" t="s">
        <v>3</v>
      </c>
      <c r="F6" t="s">
        <v>4</v>
      </c>
    </row>
    <row r="9" spans="4:6" x14ac:dyDescent="0.3">
      <c r="D9" s="1" t="s">
        <v>5</v>
      </c>
    </row>
    <row r="11" spans="4:6" x14ac:dyDescent="0.3">
      <c r="E11" s="12" t="s">
        <v>6</v>
      </c>
      <c r="F11" s="43" t="s">
        <v>7</v>
      </c>
    </row>
    <row r="12" spans="4:6" x14ac:dyDescent="0.3">
      <c r="E12" s="42" t="s">
        <v>8</v>
      </c>
      <c r="F12" s="20" t="s">
        <v>9</v>
      </c>
    </row>
    <row r="13" spans="4:6" x14ac:dyDescent="0.3">
      <c r="E13" s="42" t="s">
        <v>10</v>
      </c>
      <c r="F13" s="20" t="s">
        <v>11</v>
      </c>
    </row>
    <row r="14" spans="4:6" x14ac:dyDescent="0.3">
      <c r="E14" s="13" t="s">
        <v>12</v>
      </c>
      <c r="F14" s="44">
        <v>0.3</v>
      </c>
    </row>
    <row r="16" spans="4:6" x14ac:dyDescent="0.3">
      <c r="D16" s="1" t="s">
        <v>13</v>
      </c>
    </row>
    <row r="18" spans="4:20" x14ac:dyDescent="0.3">
      <c r="E18" s="1" t="s">
        <v>14</v>
      </c>
      <c r="H18" s="37">
        <v>2</v>
      </c>
      <c r="I18" s="60" t="s">
        <v>15</v>
      </c>
    </row>
    <row r="20" spans="4:20" x14ac:dyDescent="0.3">
      <c r="E20" s="1" t="s">
        <v>16</v>
      </c>
      <c r="L20" s="1" t="s">
        <v>17</v>
      </c>
      <c r="Q20" s="1" t="s">
        <v>18</v>
      </c>
    </row>
    <row r="21" spans="4:20" ht="28.8" x14ac:dyDescent="0.3">
      <c r="E21" s="3" t="s">
        <v>19</v>
      </c>
      <c r="F21" s="4" t="s">
        <v>20</v>
      </c>
      <c r="G21" s="4" t="s">
        <v>21</v>
      </c>
      <c r="H21" s="14" t="s">
        <v>22</v>
      </c>
      <c r="I21" s="15" t="s">
        <v>23</v>
      </c>
      <c r="J21" s="14" t="s">
        <v>24</v>
      </c>
      <c r="L21" s="15" t="s">
        <v>25</v>
      </c>
      <c r="M21" s="16" t="s">
        <v>26</v>
      </c>
      <c r="N21" s="16" t="s">
        <v>27</v>
      </c>
      <c r="O21" s="14" t="s">
        <v>28</v>
      </c>
      <c r="Q21" s="53" t="s">
        <v>25</v>
      </c>
      <c r="R21" s="54" t="s">
        <v>29</v>
      </c>
      <c r="S21" s="54" t="s">
        <v>30</v>
      </c>
      <c r="T21" s="55" t="s">
        <v>31</v>
      </c>
    </row>
    <row r="22" spans="4:20" x14ac:dyDescent="0.3">
      <c r="E22" s="17" t="s">
        <v>32</v>
      </c>
      <c r="F22" s="18">
        <v>10000</v>
      </c>
      <c r="G22" s="19" t="s">
        <v>33</v>
      </c>
      <c r="H22" s="20" t="b">
        <v>1</v>
      </c>
      <c r="I22" s="51">
        <v>1000000</v>
      </c>
      <c r="J22" s="25">
        <v>0</v>
      </c>
      <c r="L22" s="27">
        <f>IF($F22=0,"",Parameters!$C$7)</f>
        <v>0.06</v>
      </c>
      <c r="M22" s="28">
        <f>IF($F22=0,"",INDEX(Parameters!$C$16:$C$19,MATCH(G22,Parameters!$B$16:$B$19,0)))</f>
        <v>1</v>
      </c>
      <c r="N22" s="29">
        <f>IF($F22=0,"",L22*M22)</f>
        <v>0.06</v>
      </c>
      <c r="O22" s="58">
        <f>IF($F22=0,"",F22*N22)</f>
        <v>600</v>
      </c>
      <c r="Q22" s="27">
        <f>IF($F22=0,"",Parameters!$C$8)</f>
        <v>0.02</v>
      </c>
      <c r="R22" s="56">
        <f>IF($F22=0,"",F22*Q22)</f>
        <v>200</v>
      </c>
      <c r="S22" s="28" cm="1">
        <f t="array" ref="S22">IF($F22=0,"",Riebesell(Parameters!$C$11,Parameters!$C$12,I22+J22)-Riebesell(Parameters!$C$11,Parameters!$C$12,J22))</f>
        <v>1</v>
      </c>
      <c r="T22" s="45">
        <f>IF($F22=0,"",R22*S22)</f>
        <v>200</v>
      </c>
    </row>
    <row r="23" spans="4:20" x14ac:dyDescent="0.3">
      <c r="E23" s="17" t="s">
        <v>34</v>
      </c>
      <c r="F23" s="18">
        <v>12000</v>
      </c>
      <c r="G23" s="19" t="s">
        <v>35</v>
      </c>
      <c r="H23" s="20" t="b">
        <v>0</v>
      </c>
      <c r="I23" s="51">
        <v>4000000</v>
      </c>
      <c r="J23" s="25">
        <v>1000000</v>
      </c>
      <c r="L23" s="27">
        <f>IF($F23=0,"",Parameters!$C$7)</f>
        <v>0.06</v>
      </c>
      <c r="M23" s="28">
        <f>IF($F23=0,"",INDEX(Parameters!$C$16:$C$19,MATCH(G23,Parameters!$B$16:$B$19,0)))</f>
        <v>1.6</v>
      </c>
      <c r="N23" s="29">
        <f t="shared" ref="N23:N26" si="0">IF($F23=0,"",L23*M23)</f>
        <v>9.6000000000000002E-2</v>
      </c>
      <c r="O23" s="58">
        <f>IF($F23=0,"",F23*N23)</f>
        <v>1152</v>
      </c>
      <c r="Q23" s="27">
        <f>IF($F23=0,"",Parameters!$C$8)</f>
        <v>0.02</v>
      </c>
      <c r="R23" s="56">
        <f>IF($F23=0,"",F23*Q23)</f>
        <v>240</v>
      </c>
      <c r="S23" s="28" cm="1">
        <f t="array" ref="S23">IF($F23=0,"",Riebesell(Parameters!$C$11,Parameters!$C$12,I23+J23)-Riebesell(Parameters!$C$11,Parameters!$C$12,J23))</f>
        <v>0.52704965699512152</v>
      </c>
      <c r="T23" s="45">
        <f t="shared" ref="T23:T26" si="1">IF($F23=0,"",R23*S23)</f>
        <v>126.49191767882917</v>
      </c>
    </row>
    <row r="24" spans="4:20" x14ac:dyDescent="0.3">
      <c r="E24" s="17" t="s">
        <v>36</v>
      </c>
      <c r="F24" s="18">
        <v>15000</v>
      </c>
      <c r="G24" s="19" t="s">
        <v>37</v>
      </c>
      <c r="H24" s="20" t="b">
        <v>1</v>
      </c>
      <c r="I24" s="51">
        <v>5000000</v>
      </c>
      <c r="J24" s="25">
        <v>5000000</v>
      </c>
      <c r="L24" s="27">
        <f>IF($F24=0,"",Parameters!$C$7)</f>
        <v>0.06</v>
      </c>
      <c r="M24" s="28">
        <f>IF($F24=0,"",INDEX(Parameters!$C$16:$C$19,MATCH(G24,Parameters!$B$16:$B$19,0)))</f>
        <v>1.2</v>
      </c>
      <c r="N24" s="29">
        <f t="shared" si="0"/>
        <v>7.1999999999999995E-2</v>
      </c>
      <c r="O24" s="58">
        <f>IF($F24=0,"",F24*N24)</f>
        <v>1080</v>
      </c>
      <c r="Q24" s="27">
        <f>IF($F24=0,"",Parameters!$C$8)</f>
        <v>0.02</v>
      </c>
      <c r="R24" s="56">
        <f>IF($F24=0,"",F24*Q24)</f>
        <v>300</v>
      </c>
      <c r="S24" s="28" cm="1">
        <f t="array" ref="S24">IF($F24=0,"",Riebesell(Parameters!$C$11,Parameters!$C$12,I24+J24)-Riebesell(Parameters!$C$11,Parameters!$C$12,J24))</f>
        <v>0.30540993139902417</v>
      </c>
      <c r="T24" s="45">
        <f t="shared" si="1"/>
        <v>91.622979419707249</v>
      </c>
    </row>
    <row r="25" spans="4:20" x14ac:dyDescent="0.3">
      <c r="E25" s="17"/>
      <c r="F25" s="18"/>
      <c r="G25" s="19"/>
      <c r="H25" s="20"/>
      <c r="I25" s="51"/>
      <c r="J25" s="25"/>
      <c r="L25" s="27" t="str">
        <f>IF($F25=0,"",Parameters!$C$7)</f>
        <v/>
      </c>
      <c r="M25" s="28" t="str">
        <f>IF($F25=0,"",INDEX(Parameters!$C$16:$C$19,MATCH(G25,Parameters!$B$16:$B$19,0)))</f>
        <v/>
      </c>
      <c r="N25" s="29" t="str">
        <f t="shared" si="0"/>
        <v/>
      </c>
      <c r="O25" s="58" t="str">
        <f>IF($F25=0,"",F25*N25)</f>
        <v/>
      </c>
      <c r="Q25" s="27" t="str">
        <f>IF($F25=0,"",Parameters!$C$8)</f>
        <v/>
      </c>
      <c r="R25" s="56" t="str">
        <f>IF($F25=0,"",F25*Q25)</f>
        <v/>
      </c>
      <c r="S25" s="28" t="str" cm="1">
        <f t="array" ref="S25">IF($F25=0,"",Riebesell(Parameters!$C$11,Parameters!$C$12,I25+J25)-Riebesell(Parameters!$C$11,Parameters!$C$12,J25))</f>
        <v/>
      </c>
      <c r="T25" s="45" t="str">
        <f t="shared" si="1"/>
        <v/>
      </c>
    </row>
    <row r="26" spans="4:20" x14ac:dyDescent="0.3">
      <c r="E26" s="21"/>
      <c r="F26" s="22"/>
      <c r="G26" s="23"/>
      <c r="H26" s="24"/>
      <c r="I26" s="52"/>
      <c r="J26" s="26"/>
      <c r="L26" s="30" t="str">
        <f>IF($F26=0,"",Parameters!$C$7)</f>
        <v/>
      </c>
      <c r="M26" s="31" t="str">
        <f>IF($F26=0,"",INDEX(Parameters!$C$16:$C$19,MATCH(G26,Parameters!$B$16:$B$19,0)))</f>
        <v/>
      </c>
      <c r="N26" s="32" t="str">
        <f t="shared" si="0"/>
        <v/>
      </c>
      <c r="O26" s="59" t="str">
        <f>IF($F26=0,"",F26*N26)</f>
        <v/>
      </c>
      <c r="Q26" s="30" t="str">
        <f>IF($F26=0,"",Parameters!$C$8)</f>
        <v/>
      </c>
      <c r="R26" s="57" t="str">
        <f>IF($F26=0,"",F26*Q26)</f>
        <v/>
      </c>
      <c r="S26" s="31" t="str" cm="1">
        <f t="array" ref="S26">IF($F26=0,"",Riebesell(Parameters!$C$11,Parameters!$C$12,I26+J26)-Riebesell(Parameters!$C$11,Parameters!$C$12,J26))</f>
        <v/>
      </c>
      <c r="T26" s="36" t="str">
        <f t="shared" si="1"/>
        <v/>
      </c>
    </row>
    <row r="27" spans="4:20" x14ac:dyDescent="0.3">
      <c r="F27" s="2"/>
      <c r="O27" s="2"/>
    </row>
    <row r="29" spans="4:20" x14ac:dyDescent="0.3">
      <c r="D29" s="1" t="s">
        <v>38</v>
      </c>
    </row>
    <row r="31" spans="4:20" x14ac:dyDescent="0.3">
      <c r="E31" s="1" t="s">
        <v>16</v>
      </c>
      <c r="H31" s="1" t="s">
        <v>3</v>
      </c>
    </row>
    <row r="32" spans="4:20" x14ac:dyDescent="0.3">
      <c r="E32" s="10" t="s">
        <v>19</v>
      </c>
      <c r="F32" s="11" t="s">
        <v>20</v>
      </c>
      <c r="H32" s="3" t="s">
        <v>39</v>
      </c>
      <c r="I32" s="5" t="s">
        <v>28</v>
      </c>
    </row>
    <row r="33" spans="4:9" x14ac:dyDescent="0.3">
      <c r="E33" s="17" t="s">
        <v>40</v>
      </c>
      <c r="F33" s="25">
        <v>5000</v>
      </c>
      <c r="H33" s="27">
        <f>IF($F33=0,"",_xlfn.MAXIFS($N$22:$N$26,$H$22:$H$26,TRUE,$F$22:$F$26,"&gt;0"))</f>
        <v>7.1999999999999995E-2</v>
      </c>
      <c r="I33" s="33">
        <f>IF($F33=0,"",F33*H33)</f>
        <v>360</v>
      </c>
    </row>
    <row r="34" spans="4:9" x14ac:dyDescent="0.3">
      <c r="E34" s="17" t="s">
        <v>41</v>
      </c>
      <c r="F34" s="25">
        <v>2500</v>
      </c>
      <c r="H34" s="27">
        <f>IF($F34=0,"",_xlfn.MAXIFS($N$22:$N$26,$H$22:$H$26,TRUE,$F$22:$F$26,"&gt;0"))</f>
        <v>7.1999999999999995E-2</v>
      </c>
      <c r="I34" s="33">
        <f>IF($F34=0,"",F34*H34)</f>
        <v>180</v>
      </c>
    </row>
    <row r="35" spans="4:9" x14ac:dyDescent="0.3">
      <c r="E35" s="17" t="s">
        <v>42</v>
      </c>
      <c r="F35" s="25">
        <v>1500</v>
      </c>
      <c r="H35" s="27">
        <f>IF($F35=0,"",_xlfn.MAXIFS($N$22:$N$26,$H$22:$H$26,TRUE,$F$22:$F$26,"&gt;0"))</f>
        <v>7.1999999999999995E-2</v>
      </c>
      <c r="I35" s="33">
        <f>IF($F35=0,"",F35*H35)</f>
        <v>107.99999999999999</v>
      </c>
    </row>
    <row r="36" spans="4:9" x14ac:dyDescent="0.3">
      <c r="E36" s="17" t="s">
        <v>43</v>
      </c>
      <c r="F36" s="25">
        <v>2000</v>
      </c>
      <c r="H36" s="27">
        <f>IF($F36=0,"",_xlfn.MAXIFS($N$22:$N$26,$H$22:$H$26,TRUE,$F$22:$F$26,"&gt;0"))</f>
        <v>7.1999999999999995E-2</v>
      </c>
      <c r="I36" s="33">
        <f>IF($F36=0,"",F36*H36)</f>
        <v>144</v>
      </c>
    </row>
    <row r="37" spans="4:9" x14ac:dyDescent="0.3">
      <c r="E37" s="21"/>
      <c r="F37" s="26"/>
      <c r="H37" s="30" t="str">
        <f>IF($F37=0,"",_xlfn.MAXIFS($N$22:$N$26,$H$22:$H$26,TRUE,$F$22:$F$26,"&gt;0"))</f>
        <v/>
      </c>
      <c r="I37" s="34" t="str">
        <f>IF($F37=0,"",F37*H37)</f>
        <v/>
      </c>
    </row>
    <row r="40" spans="4:9" x14ac:dyDescent="0.3">
      <c r="D40" s="1" t="s">
        <v>44</v>
      </c>
    </row>
    <row r="41" spans="4:9" x14ac:dyDescent="0.3">
      <c r="F41" s="1" t="s">
        <v>46</v>
      </c>
      <c r="G41" s="1" t="s">
        <v>45</v>
      </c>
    </row>
    <row r="42" spans="4:9" x14ac:dyDescent="0.3">
      <c r="E42" s="12" t="s">
        <v>47</v>
      </c>
      <c r="F42" s="35">
        <f>SUM(O22:O26)</f>
        <v>2832</v>
      </c>
      <c r="G42" s="35">
        <f>F42/(1-$F$14)</f>
        <v>4045.7142857142858</v>
      </c>
    </row>
    <row r="43" spans="4:9" x14ac:dyDescent="0.3">
      <c r="E43" s="42" t="s">
        <v>48</v>
      </c>
      <c r="F43" s="45">
        <f>SUM(T22:T26)</f>
        <v>418.1148970985364</v>
      </c>
      <c r="G43" s="45">
        <f>F43/(1-$F$14)</f>
        <v>597.30699585505204</v>
      </c>
    </row>
    <row r="44" spans="4:9" x14ac:dyDescent="0.3">
      <c r="E44" s="13" t="s">
        <v>49</v>
      </c>
      <c r="F44" s="36">
        <f>SUM(I33:I37)</f>
        <v>792</v>
      </c>
      <c r="G44" s="36">
        <f>F44/(1-$F$14)</f>
        <v>1131.4285714285716</v>
      </c>
    </row>
    <row r="45" spans="4:9" x14ac:dyDescent="0.3">
      <c r="E45" s="13" t="s">
        <v>50</v>
      </c>
      <c r="F45" s="36">
        <f>SUM(F42:F44)</f>
        <v>4042.1148970985364</v>
      </c>
      <c r="G45" s="36">
        <f>SUM(G42:G44)</f>
        <v>5774.4498529979091</v>
      </c>
    </row>
  </sheetData>
  <dataValidations count="1">
    <dataValidation type="list" allowBlank="1" showInputMessage="1" showErrorMessage="1" sqref="H22:H26" xr:uid="{84C1ACE7-14C5-457D-907F-B43C7F6D5340}">
      <formula1>"TRUE,FALSE"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ACAEE0-FB6E-40F3-B304-E5F1B2F5FBDD}">
          <x14:formula1>
            <xm:f>Parameters!$B$16:$B$19</xm:f>
          </x14:formula1>
          <xm:sqref>G22:G26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D976-6FB6-4DB0-A47A-F809F493BA1D}">
  <sheetPr codeName="Sheet2"/>
  <dimension ref="B2:C19"/>
  <sheetViews>
    <sheetView workbookViewId="0">
      <selection activeCell="F19" sqref="F19"/>
    </sheetView>
  </sheetViews>
  <sheetFormatPr defaultRowHeight="14.4" x14ac:dyDescent="0.3"/>
  <cols>
    <col min="2" max="2" width="15.6640625" customWidth="1"/>
    <col min="3" max="3" width="12.6640625" bestFit="1" customWidth="1"/>
  </cols>
  <sheetData>
    <row r="2" spans="2:3" x14ac:dyDescent="0.3">
      <c r="B2" t="s">
        <v>51</v>
      </c>
    </row>
    <row r="6" spans="2:3" x14ac:dyDescent="0.3">
      <c r="B6" t="s">
        <v>52</v>
      </c>
    </row>
    <row r="7" spans="2:3" x14ac:dyDescent="0.3">
      <c r="B7" s="48" t="s">
        <v>17</v>
      </c>
      <c r="C7" s="46">
        <v>0.06</v>
      </c>
    </row>
    <row r="8" spans="2:3" x14ac:dyDescent="0.3">
      <c r="B8" s="49" t="s">
        <v>53</v>
      </c>
      <c r="C8" s="47">
        <v>0.02</v>
      </c>
    </row>
    <row r="10" spans="2:3" x14ac:dyDescent="0.3">
      <c r="B10" t="s">
        <v>54</v>
      </c>
    </row>
    <row r="11" spans="2:3" x14ac:dyDescent="0.3">
      <c r="B11" s="48" t="s">
        <v>55</v>
      </c>
      <c r="C11" s="50">
        <v>1000000</v>
      </c>
    </row>
    <row r="12" spans="2:3" x14ac:dyDescent="0.3">
      <c r="B12" s="49" t="s">
        <v>56</v>
      </c>
      <c r="C12" s="9">
        <v>0.2</v>
      </c>
    </row>
    <row r="14" spans="2:3" x14ac:dyDescent="0.3">
      <c r="B14" t="s">
        <v>57</v>
      </c>
    </row>
    <row r="15" spans="2:3" x14ac:dyDescent="0.3">
      <c r="B15" s="41" t="s">
        <v>21</v>
      </c>
      <c r="C15" s="40" t="s">
        <v>58</v>
      </c>
    </row>
    <row r="16" spans="2:3" x14ac:dyDescent="0.3">
      <c r="B16" s="6" t="s">
        <v>33</v>
      </c>
      <c r="C16" s="7">
        <v>1</v>
      </c>
    </row>
    <row r="17" spans="2:3" x14ac:dyDescent="0.3">
      <c r="B17" s="6" t="s">
        <v>37</v>
      </c>
      <c r="C17" s="7">
        <v>1.2</v>
      </c>
    </row>
    <row r="18" spans="2:3" x14ac:dyDescent="0.3">
      <c r="B18" s="6" t="s">
        <v>35</v>
      </c>
      <c r="C18" s="7">
        <v>1.6</v>
      </c>
    </row>
    <row r="19" spans="2:3" x14ac:dyDescent="0.3">
      <c r="B19" s="8" t="s">
        <v>59</v>
      </c>
      <c r="C19" s="9">
        <v>2.5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cb36895f-2b6b-48c2-ba2b-baf9dc1ac79b">Internal</Classification>
    <_Flow_SignoffStatus xmlns="cb36895f-2b6b-48c2-ba2b-baf9dc1ac79b" xsi:nil="true"/>
    <Status xmlns="cb36895f-2b6b-48c2-ba2b-baf9dc1ac79b">Draft</Status>
    <Notes0 xmlns="cb36895f-2b6b-48c2-ba2b-baf9dc1ac79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7807721FE69F4293DDE0117B82947D" ma:contentTypeVersion="17" ma:contentTypeDescription="Create a new document." ma:contentTypeScope="" ma:versionID="5de2662ab2bee81d59bf6621a10dd5a0">
  <xsd:schema xmlns:xsd="http://www.w3.org/2001/XMLSchema" xmlns:xs="http://www.w3.org/2001/XMLSchema" xmlns:p="http://schemas.microsoft.com/office/2006/metadata/properties" xmlns:ns2="cb36895f-2b6b-48c2-ba2b-baf9dc1ac79b" xmlns:ns3="225db635-fdbe-4838-b400-2ca7eb080b70" targetNamespace="http://schemas.microsoft.com/office/2006/metadata/properties" ma:root="true" ma:fieldsID="ef6975adcca28a456531296fb53f645a" ns2:_="" ns3:_="">
    <xsd:import namespace="cb36895f-2b6b-48c2-ba2b-baf9dc1ac79b"/>
    <xsd:import namespace="225db635-fdbe-4838-b400-2ca7eb080b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  <xsd:element ref="ns2:Notes0" minOccurs="0"/>
                <xsd:element ref="ns2:Status" minOccurs="0"/>
                <xsd:element ref="ns2:Classification" minOccurs="0"/>
                <xsd:element ref="ns2:_Flow_SignoffStatu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36895f-2b6b-48c2-ba2b-baf9dc1ac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Notes0" ma:index="16" nillable="true" ma:displayName="Notes" ma:internalName="Notes0">
      <xsd:simpleType>
        <xsd:restriction base="dms:Note">
          <xsd:maxLength value="255"/>
        </xsd:restriction>
      </xsd:simpleType>
    </xsd:element>
    <xsd:element name="Status" ma:index="17" nillable="true" ma:displayName="Status" ma:default="Draft" ma:format="Dropdown" ma:internalName="Status">
      <xsd:simpleType>
        <xsd:union memberTypes="dms:Text">
          <xsd:simpleType>
            <xsd:restriction base="dms:Choice">
              <xsd:enumeration value="Draft"/>
              <xsd:enumeration value="Published"/>
              <xsd:enumeration value="Archived"/>
            </xsd:restriction>
          </xsd:simpleType>
        </xsd:union>
      </xsd:simpleType>
    </xsd:element>
    <xsd:element name="Classification" ma:index="18" nillable="true" ma:displayName="Classification" ma:default="Internal" ma:format="Dropdown" ma:internalName="Classification">
      <xsd:simpleType>
        <xsd:union memberTypes="dms:Text">
          <xsd:simpleType>
            <xsd:restriction base="dms:Choice">
              <xsd:enumeration value="Confidential"/>
              <xsd:enumeration value="Restricted"/>
              <xsd:enumeration value="Internal"/>
              <xsd:enumeration value="Public"/>
            </xsd:restriction>
          </xsd:simpleType>
        </xsd:union>
      </xsd:simpleType>
    </xsd:element>
    <xsd:element name="_Flow_SignoffStatus" ma:index="19" nillable="true" ma:displayName="Sign-off status" ma:internalName="_x0024_Resources_x003a_core_x002c_Signoff_Status_x003b_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5db635-fdbe-4838-b400-2ca7eb080b7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0C38B1-B1AD-4AD2-A6D7-423AB27823B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3FB2E97-CCFC-42B6-9422-526297B225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B60B97-F056-4354-B329-EF512745E67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Parameters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Johnson</dc:creator>
  <cp:keywords/>
  <dc:description/>
  <cp:lastModifiedBy>Robert Williams</cp:lastModifiedBy>
  <cp:revision/>
  <dcterms:created xsi:type="dcterms:W3CDTF">2019-04-02T16:00:03Z</dcterms:created>
  <dcterms:modified xsi:type="dcterms:W3CDTF">2021-10-07T19:46:23Z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0x010100A67807721FE69F4293DDE0117B82947D</vt:lpwstr>
  </property>
  <property fmtid="{D5CDD505-2E9C-101B-9397-08002B2CF9AE}" pid="3" name="AuthorIds_UIVersion_512">
    <vt:lpwstr>12</vt:lpwstr>
  </property>
</Properties>
</file>